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A:\IRWAN\SPPD\"/>
    </mc:Choice>
  </mc:AlternateContent>
  <xr:revisionPtr revIDLastSave="0" documentId="8_{77B85798-91D7-45E3-B433-D98667650FFA}" xr6:coauthVersionLast="47" xr6:coauthVersionMax="47" xr10:uidLastSave="{00000000-0000-0000-0000-000000000000}"/>
  <bookViews>
    <workbookView xWindow="-120" yWindow="-120" windowWidth="29040" windowHeight="15720" tabRatio="730"/>
  </bookViews>
  <sheets>
    <sheet name="Perjadin Luar" sheetId="21" r:id="rId1"/>
  </sheets>
  <definedNames>
    <definedName name="_xlnm.Print_Area" localSheetId="0">'Perjadin Luar'!$A$1:$I$41</definedName>
  </definedNames>
  <calcPr calcId="191029"/>
  <fileRecoveryPr autoRecover="0"/>
</workbook>
</file>

<file path=xl/calcChain.xml><?xml version="1.0" encoding="utf-8"?>
<calcChain xmlns="http://schemas.openxmlformats.org/spreadsheetml/2006/main">
  <c r="H13" i="21" l="1"/>
  <c r="H11" i="21"/>
  <c r="H17" i="21"/>
  <c r="H19" i="21" l="1"/>
  <c r="B31" i="21"/>
</calcChain>
</file>

<file path=xl/sharedStrings.xml><?xml version="1.0" encoding="utf-8"?>
<sst xmlns="http://schemas.openxmlformats.org/spreadsheetml/2006/main" count="59" uniqueCount="49">
  <si>
    <t>NO</t>
  </si>
  <si>
    <t>TANGGAL</t>
  </si>
  <si>
    <t>JUMLAH</t>
  </si>
  <si>
    <t>KETERANGAN</t>
  </si>
  <si>
    <t>:</t>
  </si>
  <si>
    <t>LAMPIRAN SPD NOMOR</t>
  </si>
  <si>
    <t>Mengetahui/Menyetujui :</t>
  </si>
  <si>
    <t xml:space="preserve">Telah menerima uang sebesar </t>
  </si>
  <si>
    <t>Sudah terima uang sejumlah tersebut diatas</t>
  </si>
  <si>
    <t>Dengan catatan bahwa untuk tarif biaya tersebut diatas,</t>
  </si>
  <si>
    <t>Saya tidak mengajukan klaim</t>
  </si>
  <si>
    <t>Yang bepergian,</t>
  </si>
  <si>
    <t>RINCIAN BIAYA BELANJA PERJALANAN DINAS BIASA</t>
  </si>
  <si>
    <t>RINCIAN BIAYA</t>
  </si>
  <si>
    <t>Biaya Angkutan Pegawai</t>
  </si>
  <si>
    <t>-</t>
  </si>
  <si>
    <t>Biaya Taxi Bandara</t>
  </si>
  <si>
    <t>Biaya Lumpsum</t>
  </si>
  <si>
    <t>x</t>
  </si>
  <si>
    <t>Biaya Penginapan</t>
  </si>
  <si>
    <t>Sisa yang belum dibayar</t>
  </si>
  <si>
    <t>Jumlah yang sudah dibayar</t>
  </si>
  <si>
    <t>Jumlah Semua</t>
  </si>
  <si>
    <t>Kuasa Pengguna Anggaran</t>
  </si>
  <si>
    <t>NIP. 19720613 200701 1 023</t>
  </si>
  <si>
    <t>Irwan Suprianto, S.Kom</t>
  </si>
  <si>
    <t>Penata Muda</t>
  </si>
  <si>
    <t>NIP. 19950901 202203 1 013</t>
  </si>
  <si>
    <t>Bendahara Pengeluaran Pembantu</t>
  </si>
  <si>
    <t>Tiket Pesawat  Balikpapan - Berau</t>
  </si>
  <si>
    <t>Tiket Pesawat Berau - Balikpapan</t>
  </si>
  <si>
    <t>094/  245 /DKPP-KUMKM.3/SPD</t>
  </si>
  <si>
    <t>1 MARET 2024</t>
  </si>
  <si>
    <t>1261671304</t>
  </si>
  <si>
    <t>ITIDJKT001538</t>
  </si>
  <si>
    <t>Taxi Bandara Kalimarau - Rumah</t>
  </si>
  <si>
    <t>Taxi Rumah - Bandara Kalimarau</t>
  </si>
  <si>
    <t>1143</t>
  </si>
  <si>
    <t>001111</t>
  </si>
  <si>
    <t>Midtown Xpress Balikpapan</t>
  </si>
  <si>
    <r>
      <t xml:space="preserve">Tanjung Redeb,      </t>
    </r>
    <r>
      <rPr>
        <sz val="11"/>
        <color indexed="9"/>
        <rFont val="Times New Roman"/>
        <family val="1"/>
      </rPr>
      <t>Maret 2024</t>
    </r>
  </si>
  <si>
    <t>Hidayat Sorang, S.T., M.E</t>
  </si>
  <si>
    <t>Penata Tk I</t>
  </si>
  <si>
    <t>Pejabat Pelaksana Teknis Kegiatan</t>
  </si>
  <si>
    <t>Irwan Surpianto, S.Kom</t>
  </si>
  <si>
    <t>NIP. 19870408 200904 1 002</t>
  </si>
  <si>
    <t>Nova Dwi Sapta Nain Seven, S.Tr.Kom</t>
  </si>
  <si>
    <t>Pada Tanggal        Maret 2023</t>
  </si>
  <si>
    <t>3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</si>
</sst>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_([$Rp-421]* #,##0_);_([$Rp-421]* \(#,##0\);_([$Rp-421]* &quot;-&quot;_);_(@_)"/>
    <numFmt numFmtId="180" formatCode="_([$Rp-421]* #,##0_);_([$Rp-421]* \(#,##0\);_([$Rp-421]* &quot;-&quot;??_);_(@_)"/>
  </numFmts>
  <fonts count="16" x14ac:knownFonts="1">
    <font>
      <sz val="11"/>
      <color theme="1"/>
      <name val="Calibri"/>
      <family val="2"/>
      <charset val="1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u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u/>
      <sz val="11"/>
      <color indexed="8"/>
      <name val="Times New Roman"/>
      <family val="1"/>
    </font>
    <font>
      <sz val="11"/>
      <color indexed="9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name val="Cambria"/>
      <family val="1"/>
      <scheme val="major"/>
    </font>
    <font>
      <u/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78" fontId="1" fillId="0" borderId="0" xfId="0" applyNumberFormat="1" applyFont="1" applyBorder="1" applyAlignment="1">
      <alignment vertical="center"/>
    </xf>
    <xf numFmtId="0" fontId="1" fillId="0" borderId="2" xfId="0" quotePrefix="1" applyFont="1" applyBorder="1" applyAlignment="1">
      <alignment horizontal="center" vertical="center"/>
    </xf>
    <xf numFmtId="180" fontId="1" fillId="0" borderId="0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180" fontId="8" fillId="0" borderId="5" xfId="0" applyNumberFormat="1" applyFont="1" applyBorder="1" applyAlignment="1">
      <alignment vertical="center"/>
    </xf>
    <xf numFmtId="0" fontId="8" fillId="0" borderId="5" xfId="0" quotePrefix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8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178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78" fontId="1" fillId="0" borderId="0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8" fontId="8" fillId="0" borderId="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abSelected="1" view="pageBreakPreview" topLeftCell="A4" zoomScale="115" zoomScaleNormal="100" zoomScaleSheetLayoutView="115" workbookViewId="0">
      <selection activeCell="K12" sqref="K12"/>
    </sheetView>
  </sheetViews>
  <sheetFormatPr defaultRowHeight="15" x14ac:dyDescent="0.25"/>
  <cols>
    <col min="1" max="1" width="6" style="24" customWidth="1"/>
    <col min="2" max="2" width="3.28515625" style="24" customWidth="1"/>
    <col min="3" max="3" width="8.5703125" style="24" customWidth="1"/>
    <col min="4" max="4" width="8.7109375" style="24" customWidth="1"/>
    <col min="5" max="5" width="2" style="24" customWidth="1"/>
    <col min="6" max="6" width="13.42578125" style="24" customWidth="1"/>
    <col min="7" max="7" width="21.28515625" style="24" customWidth="1"/>
    <col min="8" max="8" width="18" style="24" customWidth="1"/>
    <col min="9" max="9" width="22" style="24" customWidth="1"/>
    <col min="10" max="11" width="9.140625" style="24"/>
    <col min="12" max="12" width="10.28515625" style="24" bestFit="1" customWidth="1"/>
    <col min="13" max="16384" width="9.140625" style="24"/>
  </cols>
  <sheetData>
    <row r="1" spans="1:11" s="3" customFormat="1" ht="15" customHeight="1" x14ac:dyDescent="0.25">
      <c r="A1" s="56" t="s">
        <v>12</v>
      </c>
      <c r="B1" s="56"/>
      <c r="C1" s="56"/>
      <c r="D1" s="56"/>
      <c r="E1" s="56"/>
      <c r="F1" s="56"/>
      <c r="G1" s="56"/>
      <c r="H1" s="56"/>
      <c r="I1" s="56"/>
    </row>
    <row r="2" spans="1:11" s="3" customFormat="1" ht="15" customHeight="1" x14ac:dyDescent="0.25">
      <c r="A2" s="8"/>
      <c r="B2" s="8"/>
      <c r="C2" s="8"/>
      <c r="D2" s="8"/>
      <c r="E2" s="8"/>
      <c r="F2" s="8"/>
      <c r="G2" s="8"/>
      <c r="H2" s="8"/>
      <c r="I2" s="8"/>
    </row>
    <row r="3" spans="1:11" s="3" customFormat="1" ht="15" customHeight="1" x14ac:dyDescent="0.25">
      <c r="A3" s="3" t="s">
        <v>5</v>
      </c>
      <c r="E3" s="9" t="s">
        <v>4</v>
      </c>
      <c r="F3" s="57" t="s">
        <v>31</v>
      </c>
      <c r="G3" s="57"/>
      <c r="H3" s="57"/>
    </row>
    <row r="4" spans="1:11" s="3" customFormat="1" ht="15" customHeight="1" x14ac:dyDescent="0.25">
      <c r="A4" s="3" t="s">
        <v>1</v>
      </c>
      <c r="E4" s="9" t="s">
        <v>4</v>
      </c>
      <c r="F4" s="58" t="s">
        <v>32</v>
      </c>
      <c r="G4" s="58"/>
      <c r="H4" s="10"/>
    </row>
    <row r="5" spans="1:11" s="3" customFormat="1" ht="15" customHeight="1" x14ac:dyDescent="0.25"/>
    <row r="6" spans="1:11" s="3" customFormat="1" ht="15" customHeight="1" x14ac:dyDescent="0.25">
      <c r="A6" s="11" t="s">
        <v>0</v>
      </c>
      <c r="B6" s="59" t="s">
        <v>13</v>
      </c>
      <c r="C6" s="60"/>
      <c r="D6" s="60"/>
      <c r="E6" s="60"/>
      <c r="F6" s="60"/>
      <c r="G6" s="60"/>
      <c r="H6" s="11" t="s">
        <v>2</v>
      </c>
      <c r="I6" s="11" t="s">
        <v>3</v>
      </c>
    </row>
    <row r="7" spans="1:11" s="3" customFormat="1" ht="17.25" customHeight="1" x14ac:dyDescent="0.25">
      <c r="A7" s="12">
        <v>1</v>
      </c>
      <c r="B7" s="61" t="s">
        <v>14</v>
      </c>
      <c r="C7" s="62"/>
      <c r="D7" s="62"/>
      <c r="E7" s="62"/>
      <c r="F7" s="62"/>
      <c r="G7" s="62"/>
      <c r="H7" s="4"/>
      <c r="I7" s="4"/>
    </row>
    <row r="8" spans="1:11" s="3" customFormat="1" ht="17.25" customHeight="1" x14ac:dyDescent="0.25">
      <c r="A8" s="4"/>
      <c r="B8" s="5" t="s">
        <v>15</v>
      </c>
      <c r="C8" s="63" t="s">
        <v>30</v>
      </c>
      <c r="D8" s="63"/>
      <c r="E8" s="63"/>
      <c r="F8" s="63"/>
      <c r="G8" s="64"/>
      <c r="H8" s="7">
        <v>1506106</v>
      </c>
      <c r="I8" s="16" t="s">
        <v>33</v>
      </c>
      <c r="K8" s="25"/>
    </row>
    <row r="9" spans="1:11" s="3" customFormat="1" ht="17.25" customHeight="1" x14ac:dyDescent="0.25">
      <c r="A9" s="4"/>
      <c r="B9" s="5" t="s">
        <v>15</v>
      </c>
      <c r="C9" s="63" t="s">
        <v>29</v>
      </c>
      <c r="D9" s="63"/>
      <c r="E9" s="63"/>
      <c r="F9" s="63"/>
      <c r="G9" s="64"/>
      <c r="H9" s="15">
        <v>1621780</v>
      </c>
      <c r="I9" s="16" t="s">
        <v>34</v>
      </c>
      <c r="K9" s="25"/>
    </row>
    <row r="10" spans="1:11" s="3" customFormat="1" ht="17.25" customHeight="1" x14ac:dyDescent="0.25">
      <c r="A10" s="4">
        <v>2</v>
      </c>
      <c r="B10" s="66" t="s">
        <v>17</v>
      </c>
      <c r="C10" s="63"/>
      <c r="D10" s="63"/>
      <c r="E10" s="63"/>
      <c r="F10" s="63"/>
      <c r="G10" s="64"/>
      <c r="H10" s="7"/>
      <c r="I10" s="14"/>
      <c r="K10" s="25"/>
    </row>
    <row r="11" spans="1:11" s="3" customFormat="1" ht="17.25" customHeight="1" x14ac:dyDescent="0.25">
      <c r="A11" s="4"/>
      <c r="B11" s="5" t="s">
        <v>15</v>
      </c>
      <c r="C11" s="6">
        <v>3</v>
      </c>
      <c r="D11" s="6" t="s">
        <v>18</v>
      </c>
      <c r="E11" s="65">
        <v>430000</v>
      </c>
      <c r="F11" s="65"/>
      <c r="G11" s="13"/>
      <c r="H11" s="7">
        <f>C11*E11</f>
        <v>1290000</v>
      </c>
      <c r="I11" s="16" t="s">
        <v>48</v>
      </c>
      <c r="K11" s="25"/>
    </row>
    <row r="12" spans="1:11" s="3" customFormat="1" ht="17.25" customHeight="1" x14ac:dyDescent="0.25">
      <c r="A12" s="4">
        <v>3</v>
      </c>
      <c r="B12" s="27" t="s">
        <v>19</v>
      </c>
      <c r="C12" s="26"/>
      <c r="D12" s="26"/>
      <c r="E12" s="26"/>
      <c r="F12" s="26"/>
      <c r="G12" s="13"/>
      <c r="H12" s="7"/>
      <c r="I12" s="4"/>
      <c r="K12" s="25"/>
    </row>
    <row r="13" spans="1:11" s="3" customFormat="1" ht="25.5" customHeight="1" x14ac:dyDescent="0.25">
      <c r="A13" s="4"/>
      <c r="B13" s="5" t="s">
        <v>15</v>
      </c>
      <c r="C13" s="6">
        <v>2</v>
      </c>
      <c r="D13" s="6" t="s">
        <v>18</v>
      </c>
      <c r="E13" s="65">
        <v>637200</v>
      </c>
      <c r="F13" s="65"/>
      <c r="G13" s="13"/>
      <c r="H13" s="7">
        <f>E13*C13</f>
        <v>1274400</v>
      </c>
      <c r="I13" s="41" t="s">
        <v>39</v>
      </c>
      <c r="K13" s="25"/>
    </row>
    <row r="14" spans="1:11" s="3" customFormat="1" ht="17.25" customHeight="1" x14ac:dyDescent="0.25">
      <c r="A14" s="4">
        <v>4</v>
      </c>
      <c r="B14" s="27" t="s">
        <v>16</v>
      </c>
      <c r="C14" s="26"/>
      <c r="D14" s="26"/>
      <c r="E14" s="26"/>
      <c r="F14" s="26"/>
      <c r="G14" s="13"/>
      <c r="H14" s="7"/>
      <c r="I14" s="16"/>
    </row>
    <row r="15" spans="1:11" s="3" customFormat="1" ht="17.25" customHeight="1" x14ac:dyDescent="0.25">
      <c r="A15" s="4"/>
      <c r="B15" s="5" t="s">
        <v>15</v>
      </c>
      <c r="C15" s="63" t="s">
        <v>36</v>
      </c>
      <c r="D15" s="63"/>
      <c r="E15" s="63"/>
      <c r="F15" s="63"/>
      <c r="G15" s="64"/>
      <c r="H15" s="17">
        <v>120000</v>
      </c>
      <c r="I15" s="16" t="s">
        <v>37</v>
      </c>
    </row>
    <row r="16" spans="1:11" s="3" customFormat="1" ht="17.25" customHeight="1" x14ac:dyDescent="0.25">
      <c r="A16" s="29"/>
      <c r="B16" s="35" t="s">
        <v>15</v>
      </c>
      <c r="C16" s="76" t="s">
        <v>35</v>
      </c>
      <c r="D16" s="76"/>
      <c r="E16" s="76"/>
      <c r="F16" s="76"/>
      <c r="G16" s="77"/>
      <c r="H16" s="36">
        <v>120000</v>
      </c>
      <c r="I16" s="37" t="s">
        <v>38</v>
      </c>
    </row>
    <row r="17" spans="1:12" s="3" customFormat="1" ht="21.75" customHeight="1" x14ac:dyDescent="0.25">
      <c r="A17" s="1"/>
      <c r="B17" s="67" t="s">
        <v>22</v>
      </c>
      <c r="C17" s="69"/>
      <c r="D17" s="69"/>
      <c r="E17" s="69"/>
      <c r="F17" s="69"/>
      <c r="G17" s="75"/>
      <c r="H17" s="2">
        <f>SUM(H8:H16)</f>
        <v>5932286</v>
      </c>
      <c r="I17" s="1"/>
    </row>
    <row r="18" spans="1:12" s="3" customFormat="1" ht="21.75" customHeight="1" x14ac:dyDescent="0.25">
      <c r="A18" s="1"/>
      <c r="B18" s="67" t="s">
        <v>21</v>
      </c>
      <c r="C18" s="68"/>
      <c r="D18" s="68"/>
      <c r="E18" s="68"/>
      <c r="F18" s="68"/>
      <c r="G18" s="70"/>
      <c r="H18" s="2">
        <v>4500000</v>
      </c>
      <c r="I18" s="1"/>
    </row>
    <row r="19" spans="1:12" s="3" customFormat="1" ht="15" customHeight="1" x14ac:dyDescent="0.25">
      <c r="A19" s="28"/>
      <c r="B19" s="67" t="s">
        <v>20</v>
      </c>
      <c r="C19" s="68"/>
      <c r="D19" s="68"/>
      <c r="E19" s="68"/>
      <c r="F19" s="68"/>
      <c r="G19" s="70"/>
      <c r="H19" s="2">
        <f>H17-H18</f>
        <v>1432286</v>
      </c>
      <c r="I19" s="18"/>
    </row>
    <row r="20" spans="1:12" s="20" customFormat="1" ht="15" customHeight="1" x14ac:dyDescent="0.25">
      <c r="A20" s="3"/>
      <c r="B20" s="3"/>
      <c r="C20" s="3"/>
      <c r="D20" s="3"/>
      <c r="E20" s="3"/>
      <c r="F20" s="3"/>
      <c r="G20" s="3"/>
      <c r="H20" s="19"/>
      <c r="I20" s="3"/>
    </row>
    <row r="21" spans="1:12" s="20" customFormat="1" ht="15" customHeight="1" x14ac:dyDescent="0.25">
      <c r="A21" s="30"/>
      <c r="B21" s="30"/>
      <c r="C21" s="38" t="s">
        <v>6</v>
      </c>
      <c r="D21" s="38"/>
      <c r="E21" s="6"/>
      <c r="F21" s="6"/>
      <c r="H21" s="65" t="s">
        <v>40</v>
      </c>
      <c r="I21" s="65"/>
    </row>
    <row r="22" spans="1:12" s="20" customFormat="1" ht="15" customHeight="1" x14ac:dyDescent="0.25">
      <c r="A22" s="30"/>
      <c r="B22" s="32"/>
      <c r="C22" s="42" t="s">
        <v>23</v>
      </c>
      <c r="D22" s="42"/>
      <c r="E22" s="42"/>
      <c r="F22" s="43"/>
      <c r="G22" s="32"/>
      <c r="H22" s="72" t="s">
        <v>43</v>
      </c>
      <c r="I22" s="72"/>
    </row>
    <row r="23" spans="1:12" s="20" customFormat="1" ht="15" customHeight="1" x14ac:dyDescent="0.25">
      <c r="A23" s="30"/>
      <c r="B23" s="32"/>
      <c r="C23" s="32"/>
      <c r="D23" s="32"/>
      <c r="E23" s="32"/>
      <c r="F23" s="32"/>
      <c r="G23" s="32"/>
      <c r="H23" s="32"/>
      <c r="I23" s="32"/>
    </row>
    <row r="24" spans="1:12" s="21" customFormat="1" ht="15" customHeight="1" x14ac:dyDescent="0.25">
      <c r="A24" s="39"/>
      <c r="B24" s="44"/>
      <c r="C24" s="32"/>
      <c r="D24" s="32"/>
      <c r="E24" s="32"/>
      <c r="F24" s="32"/>
      <c r="G24" s="32"/>
      <c r="H24" s="44"/>
      <c r="I24" s="32"/>
    </row>
    <row r="25" spans="1:12" s="20" customFormat="1" ht="15" customHeight="1" x14ac:dyDescent="0.25">
      <c r="A25" s="30"/>
      <c r="B25" s="32"/>
      <c r="C25" s="44"/>
      <c r="D25" s="31"/>
      <c r="E25" s="31"/>
      <c r="F25" s="31"/>
      <c r="G25" s="44"/>
      <c r="H25" s="45"/>
      <c r="I25" s="45"/>
      <c r="J25" s="8"/>
      <c r="K25" s="8"/>
      <c r="L25" s="8"/>
    </row>
    <row r="26" spans="1:12" s="20" customFormat="1" ht="15" customHeight="1" x14ac:dyDescent="0.25">
      <c r="A26" s="30"/>
      <c r="B26" s="32"/>
      <c r="C26" s="46" t="s">
        <v>41</v>
      </c>
      <c r="D26" s="46"/>
      <c r="E26" s="46"/>
      <c r="F26" s="33"/>
      <c r="G26" s="32"/>
      <c r="H26" s="73" t="s">
        <v>44</v>
      </c>
      <c r="I26" s="73"/>
      <c r="J26" s="9"/>
      <c r="K26" s="9"/>
      <c r="L26" s="9"/>
    </row>
    <row r="27" spans="1:12" s="20" customFormat="1" ht="15" customHeight="1" x14ac:dyDescent="0.25">
      <c r="A27" s="30"/>
      <c r="B27" s="32"/>
      <c r="C27" s="47" t="s">
        <v>42</v>
      </c>
      <c r="D27" s="47"/>
      <c r="E27" s="47"/>
      <c r="F27" s="32"/>
      <c r="G27" s="32"/>
      <c r="H27" s="53" t="s">
        <v>26</v>
      </c>
      <c r="I27" s="53"/>
    </row>
    <row r="28" spans="1:12" s="20" customFormat="1" ht="15" customHeight="1" x14ac:dyDescent="0.25">
      <c r="A28" s="30"/>
      <c r="B28" s="32"/>
      <c r="C28" s="48" t="s">
        <v>45</v>
      </c>
      <c r="D28" s="48"/>
      <c r="E28" s="48"/>
      <c r="F28" s="32"/>
      <c r="G28" s="32"/>
      <c r="H28" s="52" t="s">
        <v>27</v>
      </c>
      <c r="I28" s="52"/>
    </row>
    <row r="29" spans="1:12" s="3" customFormat="1" ht="15" customHeight="1" x14ac:dyDescent="0.25">
      <c r="A29" s="22"/>
      <c r="B29" s="49"/>
      <c r="C29" s="49"/>
      <c r="D29" s="49"/>
      <c r="E29" s="49"/>
      <c r="F29" s="49"/>
      <c r="G29" s="49"/>
      <c r="H29" s="49"/>
      <c r="I29" s="49"/>
    </row>
    <row r="30" spans="1:12" s="3" customFormat="1" ht="15" customHeight="1" x14ac:dyDescent="0.25">
      <c r="A30" s="9"/>
      <c r="B30" s="40" t="s">
        <v>7</v>
      </c>
      <c r="C30" s="40"/>
      <c r="D30" s="40"/>
      <c r="E30" s="40"/>
      <c r="F30" s="40"/>
      <c r="G30" s="34"/>
      <c r="H30" s="40" t="s">
        <v>8</v>
      </c>
      <c r="I30" s="40"/>
    </row>
    <row r="31" spans="1:12" s="3" customFormat="1" ht="15" customHeight="1" x14ac:dyDescent="0.25">
      <c r="A31" s="9"/>
      <c r="B31" s="71">
        <f>H17</f>
        <v>5932286</v>
      </c>
      <c r="C31" s="71"/>
      <c r="D31" s="71"/>
      <c r="E31" s="40"/>
      <c r="F31" s="50"/>
      <c r="G31" s="34"/>
      <c r="H31" s="51" t="s">
        <v>47</v>
      </c>
      <c r="I31" s="51"/>
    </row>
    <row r="32" spans="1:12" s="3" customFormat="1" ht="15" customHeight="1" x14ac:dyDescent="0.25">
      <c r="A32" s="9"/>
      <c r="B32" s="40" t="s">
        <v>9</v>
      </c>
      <c r="C32" s="40"/>
      <c r="D32" s="40"/>
      <c r="E32" s="40"/>
      <c r="F32" s="40"/>
      <c r="G32" s="40"/>
      <c r="H32" s="40"/>
      <c r="I32" s="40"/>
    </row>
    <row r="33" spans="1:9" s="3" customFormat="1" ht="15" customHeight="1" x14ac:dyDescent="0.25">
      <c r="A33" s="9"/>
      <c r="B33" s="54" t="s">
        <v>10</v>
      </c>
      <c r="C33" s="54"/>
      <c r="D33" s="54"/>
      <c r="E33" s="54"/>
      <c r="F33" s="54"/>
      <c r="G33" s="34"/>
      <c r="H33" s="34"/>
      <c r="I33" s="34"/>
    </row>
    <row r="34" spans="1:9" s="3" customFormat="1" ht="15" customHeight="1" x14ac:dyDescent="0.25">
      <c r="A34" s="9"/>
      <c r="B34" s="54" t="s">
        <v>11</v>
      </c>
      <c r="C34" s="54"/>
      <c r="D34" s="54"/>
      <c r="E34" s="54"/>
      <c r="F34" s="54"/>
      <c r="G34" s="34"/>
      <c r="H34" s="54" t="s">
        <v>28</v>
      </c>
      <c r="I34" s="54"/>
    </row>
    <row r="35" spans="1:9" s="3" customFormat="1" ht="15" customHeight="1" x14ac:dyDescent="0.25">
      <c r="B35" s="34"/>
      <c r="C35" s="34"/>
      <c r="D35" s="34"/>
      <c r="E35" s="34"/>
      <c r="F35" s="34"/>
      <c r="G35" s="34"/>
      <c r="H35" s="34"/>
      <c r="I35" s="34"/>
    </row>
    <row r="36" spans="1:9" s="3" customFormat="1" ht="15" customHeight="1" x14ac:dyDescent="0.25">
      <c r="B36" s="34"/>
      <c r="C36" s="34"/>
      <c r="D36" s="34"/>
      <c r="E36" s="34"/>
      <c r="F36" s="34"/>
      <c r="G36" s="34"/>
      <c r="H36" s="34"/>
      <c r="I36" s="34"/>
    </row>
    <row r="37" spans="1:9" s="3" customFormat="1" ht="15" customHeight="1" x14ac:dyDescent="0.25">
      <c r="A37" s="23"/>
      <c r="B37" s="34"/>
      <c r="C37" s="34"/>
      <c r="D37" s="34"/>
      <c r="E37" s="34"/>
      <c r="F37" s="34"/>
      <c r="G37" s="34"/>
      <c r="H37" s="34"/>
      <c r="I37" s="34"/>
    </row>
    <row r="38" spans="1:9" s="3" customFormat="1" ht="15" customHeight="1" x14ac:dyDescent="0.25">
      <c r="A38" s="23"/>
      <c r="B38" s="73" t="s">
        <v>25</v>
      </c>
      <c r="C38" s="73"/>
      <c r="D38" s="73"/>
      <c r="E38" s="73"/>
      <c r="F38" s="73"/>
      <c r="G38" s="34"/>
      <c r="H38" s="74" t="s">
        <v>46</v>
      </c>
      <c r="I38" s="74"/>
    </row>
    <row r="39" spans="1:9" s="20" customFormat="1" ht="15" customHeight="1" x14ac:dyDescent="0.25">
      <c r="B39" s="53" t="s">
        <v>26</v>
      </c>
      <c r="C39" s="53"/>
      <c r="D39" s="53"/>
      <c r="E39" s="53"/>
      <c r="F39" s="53"/>
      <c r="G39" s="34"/>
      <c r="H39" s="55" t="s">
        <v>26</v>
      </c>
      <c r="I39" s="55"/>
    </row>
    <row r="40" spans="1:9" s="20" customFormat="1" ht="15" customHeight="1" x14ac:dyDescent="0.25">
      <c r="A40" s="3"/>
      <c r="B40" s="53" t="s">
        <v>27</v>
      </c>
      <c r="C40" s="53"/>
      <c r="D40" s="53"/>
      <c r="E40" s="53"/>
      <c r="F40" s="53"/>
      <c r="G40" s="32"/>
      <c r="H40" s="55" t="s">
        <v>24</v>
      </c>
      <c r="I40" s="55"/>
    </row>
    <row r="41" spans="1:9" s="20" customFormat="1" ht="15" customHeight="1" x14ac:dyDescent="0.25">
      <c r="B41" s="32"/>
      <c r="C41" s="32"/>
      <c r="D41" s="32"/>
      <c r="E41" s="32"/>
      <c r="F41" s="32"/>
      <c r="G41" s="32"/>
      <c r="H41" s="33"/>
      <c r="I41" s="32"/>
    </row>
  </sheetData>
  <mergeCells count="30">
    <mergeCell ref="B10:G10"/>
    <mergeCell ref="E11:F11"/>
    <mergeCell ref="E13:F13"/>
    <mergeCell ref="C16:G16"/>
    <mergeCell ref="H22:I22"/>
    <mergeCell ref="H26:I26"/>
    <mergeCell ref="H27:I27"/>
    <mergeCell ref="B39:F39"/>
    <mergeCell ref="H38:I38"/>
    <mergeCell ref="B38:F38"/>
    <mergeCell ref="H34:I34"/>
    <mergeCell ref="H39:I39"/>
    <mergeCell ref="C9:G9"/>
    <mergeCell ref="C8:G8"/>
    <mergeCell ref="H21:I21"/>
    <mergeCell ref="B33:F33"/>
    <mergeCell ref="C15:G15"/>
    <mergeCell ref="B17:G17"/>
    <mergeCell ref="B19:G19"/>
    <mergeCell ref="B18:G18"/>
    <mergeCell ref="B31:D31"/>
    <mergeCell ref="H28:I28"/>
    <mergeCell ref="B40:F40"/>
    <mergeCell ref="B34:F34"/>
    <mergeCell ref="H40:I40"/>
    <mergeCell ref="A1:I1"/>
    <mergeCell ref="F3:H3"/>
    <mergeCell ref="F4:G4"/>
    <mergeCell ref="B6:G6"/>
    <mergeCell ref="B7:G7"/>
  </mergeCells>
  <pageMargins left="0.72" right="0.41" top="0.81" bottom="1.02" header="0.3" footer="0.3"/>
  <pageSetup paperSize="10000" scale="87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Perjadin Luar</vt:lpstr>
      <vt:lpstr>'Perjadin Luar'!Print_Area</vt:lpstr>
    </vt:vector>
  </TitlesOfParts>
  <Company>Graha Informatika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betalphi.com</dc:creator>
  <cp:lastModifiedBy>ADMIN</cp:lastModifiedBy>
  <cp:lastPrinted>2024-07-17T02:45:51Z</cp:lastPrinted>
  <dcterms:created xsi:type="dcterms:W3CDTF">2010-11-04T13:11:53Z</dcterms:created>
  <dcterms:modified xsi:type="dcterms:W3CDTF">2026-07-09T08:07:57Z</dcterms:modified>
</cp:coreProperties>
</file>